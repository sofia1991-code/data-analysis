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phie\Desktop\"/>
    </mc:Choice>
  </mc:AlternateContent>
  <bookViews>
    <workbookView xWindow="0" yWindow="0" windowWidth="23040" windowHeight="9384"/>
  </bookViews>
  <sheets>
    <sheet name="S.6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3" i="4"/>
</calcChain>
</file>

<file path=xl/sharedStrings.xml><?xml version="1.0" encoding="utf-8"?>
<sst xmlns="http://schemas.openxmlformats.org/spreadsheetml/2006/main" count="467" uniqueCount="270">
  <si>
    <t>LIN</t>
  </si>
  <si>
    <t>M</t>
  </si>
  <si>
    <t>MATOVU</t>
  </si>
  <si>
    <t>KATO</t>
  </si>
  <si>
    <t>F</t>
  </si>
  <si>
    <t>KIZITO</t>
  </si>
  <si>
    <t>ALEX</t>
  </si>
  <si>
    <t>AMINAH</t>
  </si>
  <si>
    <t>TENDO</t>
  </si>
  <si>
    <t>ARAFAT</t>
  </si>
  <si>
    <t>NALUBEGA</t>
  </si>
  <si>
    <t>MUKIIBI</t>
  </si>
  <si>
    <t>CATHERINE</t>
  </si>
  <si>
    <t>KIRABO</t>
  </si>
  <si>
    <t>DAVID</t>
  </si>
  <si>
    <t>DORAH</t>
  </si>
  <si>
    <t>NAKYANZI</t>
  </si>
  <si>
    <t>NABUUMA</t>
  </si>
  <si>
    <t>FATUMAH</t>
  </si>
  <si>
    <t>NANSAMBA</t>
  </si>
  <si>
    <t>FRANCIS</t>
  </si>
  <si>
    <t>GETRUDE</t>
  </si>
  <si>
    <t>NAMALE</t>
  </si>
  <si>
    <t>NANSUBUGA</t>
  </si>
  <si>
    <t>NAKABUYE</t>
  </si>
  <si>
    <t>HALIMAH</t>
  </si>
  <si>
    <t>NAKIMULI</t>
  </si>
  <si>
    <t>HARRIET</t>
  </si>
  <si>
    <t>HARUNAH</t>
  </si>
  <si>
    <t>HENRY</t>
  </si>
  <si>
    <t>NAJJUKA</t>
  </si>
  <si>
    <t>JAMIRAH</t>
  </si>
  <si>
    <t>JOSEPH</t>
  </si>
  <si>
    <t>NAMUTEBI</t>
  </si>
  <si>
    <t>MARIA</t>
  </si>
  <si>
    <t>MARIAM</t>
  </si>
  <si>
    <t>KIGGUNDU</t>
  </si>
  <si>
    <t>NAGGAYI</t>
  </si>
  <si>
    <t>RASHIDAH</t>
  </si>
  <si>
    <t>ROSE</t>
  </si>
  <si>
    <t>RUTH</t>
  </si>
  <si>
    <t>SALIMAH</t>
  </si>
  <si>
    <t>SARAH</t>
  </si>
  <si>
    <t>NAMANDA</t>
  </si>
  <si>
    <t>SHADIA</t>
  </si>
  <si>
    <t>NAMAKULA</t>
  </si>
  <si>
    <t>LUBEGA</t>
  </si>
  <si>
    <t>SHAKIRAH</t>
  </si>
  <si>
    <t>SHAMIRAH</t>
  </si>
  <si>
    <t>NABUKEERA</t>
  </si>
  <si>
    <t>SHIFRAH</t>
  </si>
  <si>
    <t>NAKATO</t>
  </si>
  <si>
    <t>STEVEN</t>
  </si>
  <si>
    <t>NABUKALU</t>
  </si>
  <si>
    <t>NAMATOVU</t>
  </si>
  <si>
    <t>ZAHARAH</t>
  </si>
  <si>
    <t>CHRISTINE</t>
  </si>
  <si>
    <t>CLAIRE</t>
  </si>
  <si>
    <t>NABUKENYA</t>
  </si>
  <si>
    <t>NAKITTO</t>
  </si>
  <si>
    <t>DDAMULIRA</t>
  </si>
  <si>
    <t>GLORIA</t>
  </si>
  <si>
    <t>NAJJUUKO</t>
  </si>
  <si>
    <t>JOSEPHINE</t>
  </si>
  <si>
    <t>MUSA</t>
  </si>
  <si>
    <t>NAKAYIWA</t>
  </si>
  <si>
    <t>KADDU</t>
  </si>
  <si>
    <t>EDITH</t>
  </si>
  <si>
    <t>JJINGO</t>
  </si>
  <si>
    <t>NAMUGGA</t>
  </si>
  <si>
    <t>NALUMU</t>
  </si>
  <si>
    <t>NAKANWAGI</t>
  </si>
  <si>
    <t>HAMIDAH</t>
  </si>
  <si>
    <t>ISAAC</t>
  </si>
  <si>
    <t>JAUHARAH</t>
  </si>
  <si>
    <t>JAZIRAH</t>
  </si>
  <si>
    <t>KITANDWE</t>
  </si>
  <si>
    <t>NAKITENDE</t>
  </si>
  <si>
    <t>NAJIB</t>
  </si>
  <si>
    <t>NUSULAH</t>
  </si>
  <si>
    <t>NAGUJJA</t>
  </si>
  <si>
    <t>VICENT</t>
  </si>
  <si>
    <t>S6</t>
  </si>
  <si>
    <t>U07F0421A08401</t>
  </si>
  <si>
    <t>ABDALAH</t>
  </si>
  <si>
    <t>NTAMBI</t>
  </si>
  <si>
    <t>U06M0521A34288</t>
  </si>
  <si>
    <t>ABDULKARIIM</t>
  </si>
  <si>
    <t>U05M0421A07035</t>
  </si>
  <si>
    <t>ABUDLAH</t>
  </si>
  <si>
    <t>JINGO</t>
  </si>
  <si>
    <t>U07M0521A04339</t>
  </si>
  <si>
    <t>OCHIENG</t>
  </si>
  <si>
    <t>U07F0921A07580</t>
  </si>
  <si>
    <t>U05F1021A22598</t>
  </si>
  <si>
    <t>ANITAH</t>
  </si>
  <si>
    <t>U06M0621A50792</t>
  </si>
  <si>
    <t>KIYENGO</t>
  </si>
  <si>
    <t>U05F0921A11003</t>
  </si>
  <si>
    <t>BIRABWA</t>
  </si>
  <si>
    <t>U05F0821A06893</t>
  </si>
  <si>
    <t>BITIJUMA</t>
  </si>
  <si>
    <t>U06M0521A34629</t>
  </si>
  <si>
    <t>BRUNO</t>
  </si>
  <si>
    <t>MUYANJA</t>
  </si>
  <si>
    <t>U07F0921A40305</t>
  </si>
  <si>
    <t>KIWUKA</t>
  </si>
  <si>
    <t>U05F0821A05904</t>
  </si>
  <si>
    <t>U05F0321A19940</t>
  </si>
  <si>
    <t>U06M0121A06226</t>
  </si>
  <si>
    <t>CHRISTOPHER</t>
  </si>
  <si>
    <t>BAZZEKETTA</t>
  </si>
  <si>
    <t>U06F0421A28984</t>
  </si>
  <si>
    <t>U06M0421A33443</t>
  </si>
  <si>
    <t>COLLIN</t>
  </si>
  <si>
    <t>LUBERENGA</t>
  </si>
  <si>
    <t>U06M0121A10809</t>
  </si>
  <si>
    <t>DAMIAN</t>
  </si>
  <si>
    <t>U04M0821A04861</t>
  </si>
  <si>
    <t>KITALI</t>
  </si>
  <si>
    <t>U06M0621A11045</t>
  </si>
  <si>
    <t>U05F0721A21568</t>
  </si>
  <si>
    <t>U06F0821A07567</t>
  </si>
  <si>
    <t>DONAH</t>
  </si>
  <si>
    <t>KEREN</t>
  </si>
  <si>
    <t>U04M0821A18742</t>
  </si>
  <si>
    <t>DONALD</t>
  </si>
  <si>
    <t>U04F1221A00475</t>
  </si>
  <si>
    <t>U06F1021A14524</t>
  </si>
  <si>
    <t>U06F0921A04002</t>
  </si>
  <si>
    <t>ELIZABETH</t>
  </si>
  <si>
    <t>U07F1221A10116</t>
  </si>
  <si>
    <t>FARIIDAH</t>
  </si>
  <si>
    <t>U05F0721A10991</t>
  </si>
  <si>
    <t>U06F0121A07087</t>
  </si>
  <si>
    <t>U03M0821A04672</t>
  </si>
  <si>
    <t>U06F0421A14499</t>
  </si>
  <si>
    <t>NAGADYA</t>
  </si>
  <si>
    <t>U06F0921A07168</t>
  </si>
  <si>
    <t>U05F0521A31650</t>
  </si>
  <si>
    <t>U06F0121A06464</t>
  </si>
  <si>
    <t>NAKAWOOYA</t>
  </si>
  <si>
    <t>U05F0621A05654</t>
  </si>
  <si>
    <t>NAMUSIITWA</t>
  </si>
  <si>
    <t>U05M0321A22894</t>
  </si>
  <si>
    <t>U06M0521A15215</t>
  </si>
  <si>
    <t>MULUBYA</t>
  </si>
  <si>
    <t>U05F0921A11006</t>
  </si>
  <si>
    <t>HOLIVA</t>
  </si>
  <si>
    <t>AMONGI</t>
  </si>
  <si>
    <t>U05M0421A11361</t>
  </si>
  <si>
    <t>HUSAIN</t>
  </si>
  <si>
    <t>U06M0521A26141</t>
  </si>
  <si>
    <t>ISA</t>
  </si>
  <si>
    <t>NTANDA</t>
  </si>
  <si>
    <t>U07M0721A08931</t>
  </si>
  <si>
    <t>MAGARA</t>
  </si>
  <si>
    <t>U06M0521A34285</t>
  </si>
  <si>
    <t>ISMA</t>
  </si>
  <si>
    <t>U04F0621A18256</t>
  </si>
  <si>
    <t>JACKLINE</t>
  </si>
  <si>
    <t>NAMUKWAYA</t>
  </si>
  <si>
    <t>U05M1221A06888</t>
  </si>
  <si>
    <t>JAMAL</t>
  </si>
  <si>
    <t>LUGOLOOBI</t>
  </si>
  <si>
    <t>U05M0421A07039</t>
  </si>
  <si>
    <t>JAMIR</t>
  </si>
  <si>
    <t>U05F0821A06789</t>
  </si>
  <si>
    <t>U05F0421A20490</t>
  </si>
  <si>
    <t>NAKUYA</t>
  </si>
  <si>
    <t>U06F0621A46057</t>
  </si>
  <si>
    <t>NAKABUUBI</t>
  </si>
  <si>
    <t>U05M0621A08875</t>
  </si>
  <si>
    <t>KAALA</t>
  </si>
  <si>
    <t>U05F0921A22198</t>
  </si>
  <si>
    <t>KAWUTHARA</t>
  </si>
  <si>
    <t>U06M1221A12453</t>
  </si>
  <si>
    <t>KENEDY</t>
  </si>
  <si>
    <t>LUBUUKA</t>
  </si>
  <si>
    <t>U06F0721A08028</t>
  </si>
  <si>
    <t>U06F0721A30082</t>
  </si>
  <si>
    <t>MADIINA</t>
  </si>
  <si>
    <t>NAKAJJA</t>
  </si>
  <si>
    <t>U06F1221A36371</t>
  </si>
  <si>
    <t>MARGARET</t>
  </si>
  <si>
    <t>U06F0221A06213</t>
  </si>
  <si>
    <t>NABITALI</t>
  </si>
  <si>
    <t>U07F0721A58252</t>
  </si>
  <si>
    <t>NAKIYEMBA</t>
  </si>
  <si>
    <t>U06F0621A42731</t>
  </si>
  <si>
    <t>MEBLE</t>
  </si>
  <si>
    <t>NAIGA</t>
  </si>
  <si>
    <t>U03M0621A14345</t>
  </si>
  <si>
    <t>BOGERE</t>
  </si>
  <si>
    <t>U05M0221A06315</t>
  </si>
  <si>
    <t>U05M0421A22548</t>
  </si>
  <si>
    <t>MUNDU</t>
  </si>
  <si>
    <t>U04M0521A17874</t>
  </si>
  <si>
    <t>MUSTAFA</t>
  </si>
  <si>
    <t>GWAYAMBADDE</t>
  </si>
  <si>
    <t>U07F0521A39801</t>
  </si>
  <si>
    <t>N</t>
  </si>
  <si>
    <t>KISITU</t>
  </si>
  <si>
    <t>U05M1021A03770</t>
  </si>
  <si>
    <t>KANGAVVE</t>
  </si>
  <si>
    <t>U07F0521A09661</t>
  </si>
  <si>
    <t>NELSAFISK</t>
  </si>
  <si>
    <t>NABIRYE</t>
  </si>
  <si>
    <t>U06F0921A09063</t>
  </si>
  <si>
    <t>U05F0921A20679</t>
  </si>
  <si>
    <t>PAULINA</t>
  </si>
  <si>
    <t>U07F0521A07668</t>
  </si>
  <si>
    <t>RAHMA</t>
  </si>
  <si>
    <t>U06F0321A07380</t>
  </si>
  <si>
    <t>U06F0921A08350</t>
  </si>
  <si>
    <t>U07F0921A09716</t>
  </si>
  <si>
    <t>RUKAYYAH</t>
  </si>
  <si>
    <t>NAMITALA</t>
  </si>
  <si>
    <t>U04F0921A06315</t>
  </si>
  <si>
    <t>NABUUFU</t>
  </si>
  <si>
    <t>U06F1021A08831</t>
  </si>
  <si>
    <t>NAMPEWO</t>
  </si>
  <si>
    <t>U04F0421A21139</t>
  </si>
  <si>
    <t>SANIA</t>
  </si>
  <si>
    <t>U04F0621A06502</t>
  </si>
  <si>
    <t>NABUNYA</t>
  </si>
  <si>
    <t>U06F1221A33694</t>
  </si>
  <si>
    <t>SAUYAH</t>
  </si>
  <si>
    <t>NANTUMBWE</t>
  </si>
  <si>
    <t>U07F1121A07306</t>
  </si>
  <si>
    <t>NABUNJO</t>
  </si>
  <si>
    <t>U06F0721A14904</t>
  </si>
  <si>
    <t>U04F0321A04537</t>
  </si>
  <si>
    <t>SHAKIRA</t>
  </si>
  <si>
    <t>U06F0721A32370</t>
  </si>
  <si>
    <t>U07F1121A16242</t>
  </si>
  <si>
    <t>NAVVUGA</t>
  </si>
  <si>
    <t>U06M0321A01611</t>
  </si>
  <si>
    <t>U05F0121A05760</t>
  </si>
  <si>
    <t>TAHIYA</t>
  </si>
  <si>
    <t>NAKIRINDE</t>
  </si>
  <si>
    <t>U07F1021A07747</t>
  </si>
  <si>
    <t>TAKIIYA</t>
  </si>
  <si>
    <t>U07F0521A09158</t>
  </si>
  <si>
    <t>TRAIHA</t>
  </si>
  <si>
    <t>U05M0121A18318</t>
  </si>
  <si>
    <t>NJABIRE</t>
  </si>
  <si>
    <t>U06F1221A21547</t>
  </si>
  <si>
    <t>YUDAYA</t>
  </si>
  <si>
    <t>NAKIBERU</t>
  </si>
  <si>
    <t>U05F0421A07153</t>
  </si>
  <si>
    <t>U06F0321A12888</t>
  </si>
  <si>
    <t>ZAKIA</t>
  </si>
  <si>
    <t>U01F0521A02460</t>
  </si>
  <si>
    <t>ZIYADA</t>
  </si>
  <si>
    <t>LOGOSE</t>
  </si>
  <si>
    <t>U05F0921A11004</t>
  </si>
  <si>
    <t>ZUHURAH</t>
  </si>
  <si>
    <t>U06F0321A07272</t>
  </si>
  <si>
    <t>ZULAIKAH</t>
  </si>
  <si>
    <t>FEES PAID</t>
  </si>
  <si>
    <t>TOTAL FEES</t>
  </si>
  <si>
    <t xml:space="preserve">CURRENT BALANCE </t>
  </si>
  <si>
    <t>LITTLE PAY</t>
  </si>
  <si>
    <t>KALIIRRO SECONDARY SCHOOL</t>
  </si>
  <si>
    <t>SUR NAME</t>
  </si>
  <si>
    <t>FIRST NAME</t>
  </si>
  <si>
    <t>OTHER NAME</t>
  </si>
  <si>
    <t>GENDER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</si>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</sst>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workbookViewId="0">
      <pane ySplit="2" topLeftCell="A3" activePane="bottomLeft" state="frozen"/>
      <selection pane="bottomLeft" activeCell="K5" sqref="K5"/>
    </sheetView>
  </sheetViews>
  <sheetFormatPr defaultRowHeight="13.8" x14ac:dyDescent="0.25"/>
  <cols>
    <col min="1" max="1" width="20" style="2" customWidth="1"/>
    <col min="2" max="2" width="14.109375" style="4" customWidth="1"/>
    <col min="3" max="3" width="13.6640625" style="4" customWidth="1"/>
    <col min="4" max="4" width="8.88671875" style="4"/>
    <col min="5" max="6" width="8.88671875" style="2"/>
    <col min="7" max="7" width="14.88671875" style="2" customWidth="1"/>
    <col min="8" max="8" width="15.5546875" style="2" customWidth="1"/>
    <col min="9" max="9" width="15.33203125" style="2" customWidth="1"/>
    <col min="10" max="10" width="13.33203125" style="2" customWidth="1"/>
    <col min="11" max="16384" width="8.88671875" style="2"/>
  </cols>
  <sheetData>
    <row r="1" spans="1:10" ht="26.4" customHeight="1" x14ac:dyDescent="0.35">
      <c r="A1" s="9" t="s">
        <v>264</v>
      </c>
      <c r="B1" s="7"/>
      <c r="C1" s="7"/>
      <c r="D1" s="7"/>
      <c r="E1" s="7"/>
      <c r="F1" s="7"/>
      <c r="G1" s="7"/>
      <c r="H1" s="7"/>
      <c r="I1" s="7"/>
      <c r="J1" s="7"/>
    </row>
    <row r="2" spans="1:10" s="1" customFormat="1" ht="27.6" x14ac:dyDescent="0.25">
      <c r="A2" s="1" t="s">
        <v>0</v>
      </c>
      <c r="B2" s="3" t="s">
        <v>265</v>
      </c>
      <c r="C2" s="3" t="s">
        <v>266</v>
      </c>
      <c r="D2" s="8" t="s">
        <v>267</v>
      </c>
      <c r="E2" s="1" t="s">
        <v>268</v>
      </c>
      <c r="F2" s="1" t="s">
        <v>269</v>
      </c>
      <c r="G2" s="1" t="s">
        <v>261</v>
      </c>
      <c r="H2" s="1" t="s">
        <v>260</v>
      </c>
      <c r="I2" s="5" t="s">
        <v>262</v>
      </c>
      <c r="J2" s="5" t="s">
        <v>263</v>
      </c>
    </row>
    <row r="3" spans="1:10" x14ac:dyDescent="0.25">
      <c r="A3" s="2" t="s">
        <v>147</v>
      </c>
      <c r="B3" s="4" t="s">
        <v>149</v>
      </c>
      <c r="C3" s="4" t="s">
        <v>148</v>
      </c>
      <c r="E3" s="2" t="s">
        <v>4</v>
      </c>
      <c r="F3" s="2" t="s">
        <v>82</v>
      </c>
      <c r="G3" s="2">
        <v>400000</v>
      </c>
      <c r="H3" s="2">
        <v>300000</v>
      </c>
      <c r="I3" s="2">
        <f>G3-H3</f>
        <v>100000</v>
      </c>
      <c r="J3" s="6" t="str">
        <f>IF(H3&lt;=150000,"POOR PAY",IF(H3&lt;=250000,"AVERAGE PAY",IF(H3&gt;250000,"GOOD PAY")))</f>
        <v>GOOD PAY</v>
      </c>
    </row>
    <row r="4" spans="1:10" ht="27.6" x14ac:dyDescent="0.25">
      <c r="A4" s="2" t="s">
        <v>109</v>
      </c>
      <c r="B4" s="4" t="s">
        <v>111</v>
      </c>
      <c r="C4" s="4" t="s">
        <v>110</v>
      </c>
      <c r="E4" s="2" t="s">
        <v>1</v>
      </c>
      <c r="F4" s="2" t="s">
        <v>82</v>
      </c>
      <c r="G4" s="2">
        <v>400000</v>
      </c>
      <c r="H4" s="2">
        <v>130000</v>
      </c>
      <c r="I4" s="2">
        <f t="shared" ref="I4:I67" si="0">G4-H4</f>
        <v>270000</v>
      </c>
      <c r="J4" s="6" t="str">
        <f t="shared" ref="J4:J67" si="1">IF(H4&lt;=150000,"POOR PAY",IF(H4&lt;=250000,"AVERAGE PAY",IF(H4&gt;250000,"GOOD PAY")))</f>
        <v>POOR PAY</v>
      </c>
    </row>
    <row r="5" spans="1:10" ht="27.6" x14ac:dyDescent="0.25">
      <c r="A5" s="2" t="s">
        <v>192</v>
      </c>
      <c r="B5" s="4" t="s">
        <v>193</v>
      </c>
      <c r="C5" s="4" t="s">
        <v>64</v>
      </c>
      <c r="E5" s="2" t="s">
        <v>1</v>
      </c>
      <c r="F5" s="2" t="s">
        <v>82</v>
      </c>
      <c r="G5" s="2">
        <v>400000</v>
      </c>
      <c r="H5" s="2">
        <v>180000</v>
      </c>
      <c r="I5" s="2">
        <f t="shared" si="0"/>
        <v>220000</v>
      </c>
      <c r="J5" s="6" t="str">
        <f t="shared" si="1"/>
        <v>AVERAGE PAY</v>
      </c>
    </row>
    <row r="6" spans="1:10" ht="27.6" x14ac:dyDescent="0.25">
      <c r="A6" s="2" t="s">
        <v>121</v>
      </c>
      <c r="B6" s="4" t="s">
        <v>60</v>
      </c>
      <c r="C6" s="4" t="s">
        <v>14</v>
      </c>
      <c r="E6" s="2" t="s">
        <v>4</v>
      </c>
      <c r="F6" s="2" t="s">
        <v>82</v>
      </c>
      <c r="G6" s="2">
        <v>400000</v>
      </c>
      <c r="H6" s="2">
        <v>230000</v>
      </c>
      <c r="I6" s="2">
        <f t="shared" si="0"/>
        <v>170000</v>
      </c>
      <c r="J6" s="6" t="str">
        <f t="shared" si="1"/>
        <v>AVERAGE PAY</v>
      </c>
    </row>
    <row r="7" spans="1:10" ht="27.6" x14ac:dyDescent="0.25">
      <c r="A7" s="2" t="s">
        <v>197</v>
      </c>
      <c r="B7" s="4" t="s">
        <v>199</v>
      </c>
      <c r="C7" s="4" t="s">
        <v>198</v>
      </c>
      <c r="E7" s="2" t="s">
        <v>1</v>
      </c>
      <c r="F7" s="2" t="s">
        <v>82</v>
      </c>
      <c r="G7" s="2">
        <v>400000</v>
      </c>
      <c r="H7" s="2">
        <v>400000</v>
      </c>
      <c r="I7" s="2">
        <f t="shared" si="0"/>
        <v>0</v>
      </c>
      <c r="J7" s="6" t="str">
        <f t="shared" si="1"/>
        <v>GOOD PAY</v>
      </c>
    </row>
    <row r="8" spans="1:10" ht="27.6" x14ac:dyDescent="0.25">
      <c r="A8" s="2" t="s">
        <v>88</v>
      </c>
      <c r="B8" s="4" t="s">
        <v>90</v>
      </c>
      <c r="C8" s="4" t="s">
        <v>89</v>
      </c>
      <c r="E8" s="2" t="s">
        <v>1</v>
      </c>
      <c r="F8" s="2" t="s">
        <v>82</v>
      </c>
      <c r="G8" s="2">
        <v>400000</v>
      </c>
      <c r="H8" s="2">
        <v>150000</v>
      </c>
      <c r="I8" s="2">
        <f t="shared" si="0"/>
        <v>250000</v>
      </c>
      <c r="J8" s="6" t="str">
        <f t="shared" si="1"/>
        <v>POOR PAY</v>
      </c>
    </row>
    <row r="9" spans="1:10" ht="27.6" x14ac:dyDescent="0.25">
      <c r="A9" s="2" t="s">
        <v>165</v>
      </c>
      <c r="B9" s="4" t="s">
        <v>68</v>
      </c>
      <c r="C9" s="4" t="s">
        <v>166</v>
      </c>
      <c r="E9" s="2" t="s">
        <v>1</v>
      </c>
      <c r="F9" s="2" t="s">
        <v>82</v>
      </c>
      <c r="G9" s="2">
        <v>400000</v>
      </c>
      <c r="H9" s="2">
        <v>60000</v>
      </c>
      <c r="I9" s="2">
        <f t="shared" si="0"/>
        <v>340000</v>
      </c>
      <c r="J9" s="6" t="str">
        <f t="shared" si="1"/>
        <v>POOR PAY</v>
      </c>
    </row>
    <row r="10" spans="1:10" ht="27.6" x14ac:dyDescent="0.25">
      <c r="A10" s="2" t="s">
        <v>172</v>
      </c>
      <c r="B10" s="4" t="s">
        <v>173</v>
      </c>
      <c r="C10" s="4" t="s">
        <v>32</v>
      </c>
      <c r="E10" s="2" t="s">
        <v>1</v>
      </c>
      <c r="F10" s="2" t="s">
        <v>82</v>
      </c>
      <c r="G10" s="2">
        <v>400000</v>
      </c>
      <c r="H10" s="2">
        <v>180000</v>
      </c>
      <c r="I10" s="2">
        <f t="shared" si="0"/>
        <v>220000</v>
      </c>
      <c r="J10" s="6" t="str">
        <f t="shared" si="1"/>
        <v>AVERAGE PAY</v>
      </c>
    </row>
    <row r="11" spans="1:10" ht="27.6" x14ac:dyDescent="0.25">
      <c r="A11" s="2" t="s">
        <v>135</v>
      </c>
      <c r="B11" s="4" t="s">
        <v>66</v>
      </c>
      <c r="C11" s="4" t="s">
        <v>20</v>
      </c>
      <c r="E11" s="2" t="s">
        <v>1</v>
      </c>
      <c r="F11" s="2" t="s">
        <v>82</v>
      </c>
      <c r="G11" s="2">
        <v>400000</v>
      </c>
      <c r="H11" s="2">
        <v>300000</v>
      </c>
      <c r="I11" s="2">
        <f t="shared" si="0"/>
        <v>100000</v>
      </c>
      <c r="J11" s="6" t="str">
        <f t="shared" si="1"/>
        <v>GOOD PAY</v>
      </c>
    </row>
    <row r="12" spans="1:10" ht="27.6" x14ac:dyDescent="0.25">
      <c r="A12" s="2" t="s">
        <v>203</v>
      </c>
      <c r="B12" s="4" t="s">
        <v>204</v>
      </c>
      <c r="C12" s="4" t="s">
        <v>78</v>
      </c>
      <c r="E12" s="2" t="s">
        <v>1</v>
      </c>
      <c r="F12" s="2" t="s">
        <v>82</v>
      </c>
      <c r="G12" s="2">
        <v>400000</v>
      </c>
      <c r="H12" s="2">
        <v>300000</v>
      </c>
      <c r="I12" s="2">
        <f t="shared" si="0"/>
        <v>100000</v>
      </c>
      <c r="J12" s="6" t="str">
        <f t="shared" si="1"/>
        <v>GOOD PAY</v>
      </c>
    </row>
    <row r="13" spans="1:10" ht="27.6" x14ac:dyDescent="0.25">
      <c r="A13" s="2" t="s">
        <v>194</v>
      </c>
      <c r="B13" s="4" t="s">
        <v>3</v>
      </c>
      <c r="C13" s="4" t="s">
        <v>64</v>
      </c>
      <c r="E13" s="2" t="s">
        <v>1</v>
      </c>
      <c r="F13" s="2" t="s">
        <v>82</v>
      </c>
      <c r="G13" s="2">
        <v>400000</v>
      </c>
      <c r="H13" s="2">
        <v>300000</v>
      </c>
      <c r="I13" s="2">
        <f t="shared" si="0"/>
        <v>100000</v>
      </c>
      <c r="J13" s="6" t="str">
        <f t="shared" si="1"/>
        <v>GOOD PAY</v>
      </c>
    </row>
    <row r="14" spans="1:10" ht="27.6" x14ac:dyDescent="0.25">
      <c r="A14" s="2" t="s">
        <v>86</v>
      </c>
      <c r="B14" s="4" t="s">
        <v>36</v>
      </c>
      <c r="C14" s="4" t="s">
        <v>87</v>
      </c>
      <c r="E14" s="2" t="s">
        <v>1</v>
      </c>
      <c r="F14" s="2" t="s">
        <v>82</v>
      </c>
      <c r="G14" s="2">
        <v>400000</v>
      </c>
      <c r="H14" s="2">
        <v>300000</v>
      </c>
      <c r="I14" s="2">
        <f t="shared" si="0"/>
        <v>100000</v>
      </c>
      <c r="J14" s="6" t="str">
        <f t="shared" si="1"/>
        <v>GOOD PAY</v>
      </c>
    </row>
    <row r="15" spans="1:10" ht="27.6" x14ac:dyDescent="0.25">
      <c r="A15" s="2" t="s">
        <v>200</v>
      </c>
      <c r="B15" s="4" t="s">
        <v>202</v>
      </c>
      <c r="C15" s="4" t="s">
        <v>201</v>
      </c>
      <c r="D15" s="4" t="s">
        <v>50</v>
      </c>
      <c r="E15" s="2" t="s">
        <v>4</v>
      </c>
      <c r="F15" s="2" t="s">
        <v>82</v>
      </c>
      <c r="G15" s="2">
        <v>400000</v>
      </c>
      <c r="H15" s="2">
        <v>300000</v>
      </c>
      <c r="I15" s="2">
        <f t="shared" si="0"/>
        <v>100000</v>
      </c>
      <c r="J15" s="6" t="str">
        <f t="shared" si="1"/>
        <v>GOOD PAY</v>
      </c>
    </row>
    <row r="16" spans="1:10" ht="27.6" x14ac:dyDescent="0.25">
      <c r="A16" s="2" t="s">
        <v>118</v>
      </c>
      <c r="B16" s="4" t="s">
        <v>119</v>
      </c>
      <c r="C16" s="4" t="s">
        <v>14</v>
      </c>
      <c r="E16" s="2" t="s">
        <v>1</v>
      </c>
      <c r="F16" s="2" t="s">
        <v>82</v>
      </c>
      <c r="G16" s="2">
        <v>400000</v>
      </c>
      <c r="H16" s="2">
        <v>300000</v>
      </c>
      <c r="I16" s="2">
        <f t="shared" si="0"/>
        <v>100000</v>
      </c>
      <c r="J16" s="6" t="str">
        <f t="shared" si="1"/>
        <v>GOOD PAY</v>
      </c>
    </row>
    <row r="17" spans="1:10" ht="27.6" x14ac:dyDescent="0.25">
      <c r="A17" s="2" t="s">
        <v>237</v>
      </c>
      <c r="B17" s="4" t="s">
        <v>76</v>
      </c>
      <c r="C17" s="4" t="s">
        <v>52</v>
      </c>
      <c r="E17" s="2" t="s">
        <v>1</v>
      </c>
      <c r="F17" s="2" t="s">
        <v>82</v>
      </c>
      <c r="G17" s="2">
        <v>400000</v>
      </c>
      <c r="H17" s="2">
        <v>300000</v>
      </c>
      <c r="I17" s="2">
        <f t="shared" si="0"/>
        <v>100000</v>
      </c>
      <c r="J17" s="6" t="str">
        <f t="shared" si="1"/>
        <v>GOOD PAY</v>
      </c>
    </row>
    <row r="18" spans="1:10" ht="27.6" x14ac:dyDescent="0.25">
      <c r="A18" s="2" t="s">
        <v>105</v>
      </c>
      <c r="B18" s="4" t="s">
        <v>106</v>
      </c>
      <c r="C18" s="4" t="s">
        <v>12</v>
      </c>
      <c r="E18" s="2" t="s">
        <v>4</v>
      </c>
      <c r="F18" s="2" t="s">
        <v>82</v>
      </c>
      <c r="G18" s="2">
        <v>400000</v>
      </c>
      <c r="H18" s="2">
        <v>350000</v>
      </c>
      <c r="I18" s="2">
        <f t="shared" si="0"/>
        <v>50000</v>
      </c>
      <c r="J18" s="6" t="str">
        <f t="shared" si="1"/>
        <v>GOOD PAY</v>
      </c>
    </row>
    <row r="19" spans="1:10" ht="27.6" x14ac:dyDescent="0.25">
      <c r="A19" s="2" t="s">
        <v>96</v>
      </c>
      <c r="B19" s="4" t="s">
        <v>97</v>
      </c>
      <c r="C19" s="4" t="s">
        <v>9</v>
      </c>
      <c r="E19" s="2" t="s">
        <v>1</v>
      </c>
      <c r="F19" s="2" t="s">
        <v>82</v>
      </c>
      <c r="G19" s="2">
        <v>400000</v>
      </c>
      <c r="H19" s="2">
        <v>400000</v>
      </c>
      <c r="I19" s="2">
        <f t="shared" si="0"/>
        <v>0</v>
      </c>
      <c r="J19" s="6" t="str">
        <f t="shared" si="1"/>
        <v>GOOD PAY</v>
      </c>
    </row>
    <row r="20" spans="1:10" ht="27.6" x14ac:dyDescent="0.25">
      <c r="A20" s="2" t="s">
        <v>157</v>
      </c>
      <c r="B20" s="4" t="s">
        <v>97</v>
      </c>
      <c r="C20" s="4" t="s">
        <v>158</v>
      </c>
      <c r="E20" s="2" t="s">
        <v>1</v>
      </c>
      <c r="F20" s="2" t="s">
        <v>82</v>
      </c>
      <c r="G20" s="2">
        <v>400000</v>
      </c>
      <c r="H20" s="2">
        <v>260000</v>
      </c>
      <c r="I20" s="2">
        <f t="shared" si="0"/>
        <v>140000</v>
      </c>
      <c r="J20" s="6" t="str">
        <f t="shared" si="1"/>
        <v>GOOD PAY</v>
      </c>
    </row>
    <row r="21" spans="1:10" ht="27.6" x14ac:dyDescent="0.25">
      <c r="A21" s="2" t="s">
        <v>253</v>
      </c>
      <c r="B21" s="4" t="s">
        <v>255</v>
      </c>
      <c r="C21" s="4" t="s">
        <v>254</v>
      </c>
      <c r="E21" s="2" t="s">
        <v>4</v>
      </c>
      <c r="F21" s="2" t="s">
        <v>82</v>
      </c>
      <c r="G21" s="2">
        <v>400000</v>
      </c>
      <c r="H21" s="2">
        <v>130000</v>
      </c>
      <c r="I21" s="2">
        <f t="shared" si="0"/>
        <v>270000</v>
      </c>
      <c r="J21" s="6" t="str">
        <f t="shared" si="1"/>
        <v>POOR PAY</v>
      </c>
    </row>
    <row r="22" spans="1:10" ht="27.6" x14ac:dyDescent="0.25">
      <c r="A22" s="2" t="s">
        <v>232</v>
      </c>
      <c r="B22" s="4" t="s">
        <v>46</v>
      </c>
      <c r="C22" s="4" t="s">
        <v>233</v>
      </c>
      <c r="E22" s="2" t="s">
        <v>4</v>
      </c>
      <c r="F22" s="2" t="s">
        <v>82</v>
      </c>
      <c r="G22" s="2">
        <v>400000</v>
      </c>
      <c r="H22" s="2">
        <v>400000</v>
      </c>
      <c r="I22" s="2">
        <f t="shared" si="0"/>
        <v>0</v>
      </c>
      <c r="J22" s="6" t="str">
        <f t="shared" si="1"/>
        <v>GOOD PAY</v>
      </c>
    </row>
    <row r="23" spans="1:10" ht="27.6" x14ac:dyDescent="0.25">
      <c r="A23" s="2" t="s">
        <v>113</v>
      </c>
      <c r="B23" s="4" t="s">
        <v>115</v>
      </c>
      <c r="C23" s="4" t="s">
        <v>114</v>
      </c>
      <c r="E23" s="2" t="s">
        <v>1</v>
      </c>
      <c r="F23" s="2" t="s">
        <v>82</v>
      </c>
      <c r="G23" s="2">
        <v>400000</v>
      </c>
      <c r="H23" s="2">
        <v>180000</v>
      </c>
      <c r="I23" s="2">
        <f t="shared" si="0"/>
        <v>220000</v>
      </c>
      <c r="J23" s="6" t="str">
        <f t="shared" si="1"/>
        <v>AVERAGE PAY</v>
      </c>
    </row>
    <row r="24" spans="1:10" ht="27.6" x14ac:dyDescent="0.25">
      <c r="A24" s="2" t="s">
        <v>176</v>
      </c>
      <c r="B24" s="4" t="s">
        <v>178</v>
      </c>
      <c r="C24" s="4" t="s">
        <v>177</v>
      </c>
      <c r="E24" s="2" t="s">
        <v>1</v>
      </c>
      <c r="F24" s="2" t="s">
        <v>82</v>
      </c>
      <c r="G24" s="2">
        <v>400000</v>
      </c>
      <c r="H24" s="2">
        <v>340000</v>
      </c>
      <c r="I24" s="2">
        <f t="shared" si="0"/>
        <v>60000</v>
      </c>
      <c r="J24" s="6" t="str">
        <f t="shared" si="1"/>
        <v>GOOD PAY</v>
      </c>
    </row>
    <row r="25" spans="1:10" ht="27.6" x14ac:dyDescent="0.25">
      <c r="A25" s="2" t="s">
        <v>162</v>
      </c>
      <c r="B25" s="4" t="s">
        <v>164</v>
      </c>
      <c r="C25" s="4" t="s">
        <v>163</v>
      </c>
      <c r="E25" s="2" t="s">
        <v>1</v>
      </c>
      <c r="F25" s="2" t="s">
        <v>82</v>
      </c>
      <c r="G25" s="2">
        <v>400000</v>
      </c>
      <c r="H25" s="2">
        <v>320000</v>
      </c>
      <c r="I25" s="2">
        <f t="shared" si="0"/>
        <v>80000</v>
      </c>
      <c r="J25" s="6" t="str">
        <f t="shared" si="1"/>
        <v>GOOD PAY</v>
      </c>
    </row>
    <row r="26" spans="1:10" ht="27.6" x14ac:dyDescent="0.25">
      <c r="A26" s="2" t="s">
        <v>155</v>
      </c>
      <c r="B26" s="4" t="s">
        <v>156</v>
      </c>
      <c r="C26" s="4" t="s">
        <v>73</v>
      </c>
      <c r="E26" s="2" t="s">
        <v>1</v>
      </c>
      <c r="F26" s="2" t="s">
        <v>82</v>
      </c>
      <c r="G26" s="2">
        <v>400000</v>
      </c>
      <c r="H26" s="2">
        <v>210000</v>
      </c>
      <c r="I26" s="2">
        <f t="shared" si="0"/>
        <v>190000</v>
      </c>
      <c r="J26" s="6" t="str">
        <f t="shared" si="1"/>
        <v>AVERAGE PAY</v>
      </c>
    </row>
    <row r="27" spans="1:10" ht="27.6" x14ac:dyDescent="0.25">
      <c r="A27" s="2" t="s">
        <v>116</v>
      </c>
      <c r="B27" s="4" t="s">
        <v>2</v>
      </c>
      <c r="C27" s="4" t="s">
        <v>117</v>
      </c>
      <c r="E27" s="2" t="s">
        <v>1</v>
      </c>
      <c r="F27" s="2" t="s">
        <v>82</v>
      </c>
      <c r="G27" s="2">
        <v>400000</v>
      </c>
      <c r="H27" s="2">
        <v>100000</v>
      </c>
      <c r="I27" s="2">
        <f t="shared" si="0"/>
        <v>300000</v>
      </c>
      <c r="J27" s="6" t="str">
        <f t="shared" si="1"/>
        <v>POOR PAY</v>
      </c>
    </row>
    <row r="28" spans="1:10" ht="27.6" x14ac:dyDescent="0.25">
      <c r="A28" s="2" t="s">
        <v>120</v>
      </c>
      <c r="B28" s="4" t="s">
        <v>2</v>
      </c>
      <c r="C28" s="4" t="s">
        <v>14</v>
      </c>
      <c r="E28" s="2" t="s">
        <v>1</v>
      </c>
      <c r="F28" s="2" t="s">
        <v>82</v>
      </c>
      <c r="G28" s="2">
        <v>400000</v>
      </c>
      <c r="H28" s="2">
        <v>400000</v>
      </c>
      <c r="I28" s="2">
        <f t="shared" si="0"/>
        <v>0</v>
      </c>
      <c r="J28" s="6" t="str">
        <f t="shared" si="1"/>
        <v>GOOD PAY</v>
      </c>
    </row>
    <row r="29" spans="1:10" ht="27.6" x14ac:dyDescent="0.25">
      <c r="A29" s="2" t="s">
        <v>150</v>
      </c>
      <c r="B29" s="4" t="s">
        <v>2</v>
      </c>
      <c r="C29" s="4" t="s">
        <v>151</v>
      </c>
      <c r="E29" s="2" t="s">
        <v>1</v>
      </c>
      <c r="F29" s="2" t="s">
        <v>82</v>
      </c>
      <c r="G29" s="2">
        <v>400000</v>
      </c>
      <c r="H29" s="2">
        <v>340000</v>
      </c>
      <c r="I29" s="2">
        <f t="shared" si="0"/>
        <v>60000</v>
      </c>
      <c r="J29" s="6" t="str">
        <f t="shared" si="1"/>
        <v>GOOD PAY</v>
      </c>
    </row>
    <row r="30" spans="1:10" ht="27.6" x14ac:dyDescent="0.25">
      <c r="A30" s="2" t="s">
        <v>144</v>
      </c>
      <c r="B30" s="4" t="s">
        <v>11</v>
      </c>
      <c r="C30" s="4" t="s">
        <v>28</v>
      </c>
      <c r="E30" s="2" t="s">
        <v>1</v>
      </c>
      <c r="F30" s="2" t="s">
        <v>82</v>
      </c>
      <c r="G30" s="2">
        <v>400000</v>
      </c>
      <c r="H30" s="2">
        <v>260000</v>
      </c>
      <c r="I30" s="2">
        <f t="shared" si="0"/>
        <v>140000</v>
      </c>
      <c r="J30" s="6" t="str">
        <f t="shared" si="1"/>
        <v>GOOD PAY</v>
      </c>
    </row>
    <row r="31" spans="1:10" ht="27.6" x14ac:dyDescent="0.25">
      <c r="A31" s="2" t="s">
        <v>145</v>
      </c>
      <c r="B31" s="4" t="s">
        <v>146</v>
      </c>
      <c r="C31" s="4" t="s">
        <v>29</v>
      </c>
      <c r="E31" s="2" t="s">
        <v>1</v>
      </c>
      <c r="F31" s="2" t="s">
        <v>82</v>
      </c>
      <c r="G31" s="2">
        <v>400000</v>
      </c>
      <c r="H31" s="2">
        <v>320000</v>
      </c>
      <c r="I31" s="2">
        <f t="shared" si="0"/>
        <v>80000</v>
      </c>
      <c r="J31" s="6" t="str">
        <f t="shared" si="1"/>
        <v>GOOD PAY</v>
      </c>
    </row>
    <row r="32" spans="1:10" ht="27.6" x14ac:dyDescent="0.25">
      <c r="A32" s="2" t="s">
        <v>195</v>
      </c>
      <c r="B32" s="4" t="s">
        <v>196</v>
      </c>
      <c r="C32" s="4" t="s">
        <v>64</v>
      </c>
      <c r="E32" s="2" t="s">
        <v>1</v>
      </c>
      <c r="F32" s="2" t="s">
        <v>82</v>
      </c>
      <c r="G32" s="2">
        <v>400000</v>
      </c>
      <c r="H32" s="2">
        <v>320000</v>
      </c>
      <c r="I32" s="2">
        <f t="shared" si="0"/>
        <v>80000</v>
      </c>
      <c r="J32" s="6" t="str">
        <f t="shared" si="1"/>
        <v>GOOD PAY</v>
      </c>
    </row>
    <row r="33" spans="1:10" ht="27.6" x14ac:dyDescent="0.25">
      <c r="A33" s="2" t="s">
        <v>102</v>
      </c>
      <c r="B33" s="4" t="s">
        <v>104</v>
      </c>
      <c r="C33" s="4" t="s">
        <v>103</v>
      </c>
      <c r="E33" s="2" t="s">
        <v>1</v>
      </c>
      <c r="F33" s="2" t="s">
        <v>82</v>
      </c>
      <c r="G33" s="2">
        <v>400000</v>
      </c>
      <c r="H33" s="2">
        <v>400000</v>
      </c>
      <c r="I33" s="2">
        <f t="shared" si="0"/>
        <v>0</v>
      </c>
      <c r="J33" s="6" t="str">
        <f t="shared" si="1"/>
        <v>GOOD PAY</v>
      </c>
    </row>
    <row r="34" spans="1:10" ht="27.6" x14ac:dyDescent="0.25">
      <c r="A34" s="2" t="s">
        <v>205</v>
      </c>
      <c r="B34" s="4" t="s">
        <v>207</v>
      </c>
      <c r="C34" s="4" t="s">
        <v>206</v>
      </c>
      <c r="E34" s="2" t="s">
        <v>4</v>
      </c>
      <c r="F34" s="2" t="s">
        <v>82</v>
      </c>
      <c r="G34" s="2">
        <v>400000</v>
      </c>
      <c r="H34" s="2">
        <v>150000</v>
      </c>
      <c r="I34" s="2">
        <f t="shared" si="0"/>
        <v>250000</v>
      </c>
      <c r="J34" s="6" t="str">
        <f t="shared" si="1"/>
        <v>POOR PAY</v>
      </c>
    </row>
    <row r="35" spans="1:10" ht="27.6" x14ac:dyDescent="0.25">
      <c r="A35" s="2" t="s">
        <v>185</v>
      </c>
      <c r="B35" s="4" t="s">
        <v>186</v>
      </c>
      <c r="C35" s="4" t="s">
        <v>34</v>
      </c>
      <c r="E35" s="2" t="s">
        <v>4</v>
      </c>
      <c r="F35" s="2" t="s">
        <v>82</v>
      </c>
      <c r="G35" s="2">
        <v>400000</v>
      </c>
      <c r="H35" s="2">
        <v>200000</v>
      </c>
      <c r="I35" s="2">
        <f t="shared" si="0"/>
        <v>200000</v>
      </c>
      <c r="J35" s="6" t="str">
        <f t="shared" si="1"/>
        <v>AVERAGE PAY</v>
      </c>
    </row>
    <row r="36" spans="1:10" ht="27.6" x14ac:dyDescent="0.25">
      <c r="A36" s="2" t="s">
        <v>139</v>
      </c>
      <c r="B36" s="4" t="s">
        <v>53</v>
      </c>
      <c r="C36" s="4" t="s">
        <v>25</v>
      </c>
      <c r="E36" s="2" t="s">
        <v>4</v>
      </c>
      <c r="F36" s="2" t="s">
        <v>82</v>
      </c>
      <c r="G36" s="2">
        <v>400000</v>
      </c>
      <c r="H36" s="2">
        <v>310000</v>
      </c>
      <c r="I36" s="2">
        <f t="shared" si="0"/>
        <v>90000</v>
      </c>
      <c r="J36" s="6" t="str">
        <f t="shared" si="1"/>
        <v>GOOD PAY</v>
      </c>
    </row>
    <row r="37" spans="1:10" ht="27.6" x14ac:dyDescent="0.25">
      <c r="A37" s="2" t="s">
        <v>243</v>
      </c>
      <c r="B37" s="4" t="s">
        <v>49</v>
      </c>
      <c r="C37" s="4" t="s">
        <v>244</v>
      </c>
      <c r="E37" s="2" t="s">
        <v>4</v>
      </c>
      <c r="F37" s="2" t="s">
        <v>82</v>
      </c>
      <c r="G37" s="2">
        <v>400000</v>
      </c>
      <c r="H37" s="2">
        <v>150000</v>
      </c>
      <c r="I37" s="2">
        <f t="shared" si="0"/>
        <v>250000</v>
      </c>
      <c r="J37" s="6" t="str">
        <f t="shared" si="1"/>
        <v>POOR PAY</v>
      </c>
    </row>
    <row r="38" spans="1:10" ht="27.6" x14ac:dyDescent="0.25">
      <c r="A38" s="2" t="s">
        <v>93</v>
      </c>
      <c r="B38" s="4" t="s">
        <v>58</v>
      </c>
      <c r="C38" s="4" t="s">
        <v>7</v>
      </c>
      <c r="E38" s="2" t="s">
        <v>4</v>
      </c>
      <c r="F38" s="2" t="s">
        <v>82</v>
      </c>
      <c r="G38" s="2">
        <v>400000</v>
      </c>
      <c r="H38" s="2">
        <v>120000</v>
      </c>
      <c r="I38" s="2">
        <f t="shared" si="0"/>
        <v>280000</v>
      </c>
      <c r="J38" s="6" t="str">
        <f t="shared" si="1"/>
        <v>POOR PAY</v>
      </c>
    </row>
    <row r="39" spans="1:10" ht="27.6" x14ac:dyDescent="0.25">
      <c r="A39" s="2" t="s">
        <v>229</v>
      </c>
      <c r="B39" s="4" t="s">
        <v>230</v>
      </c>
      <c r="C39" s="4" t="s">
        <v>44</v>
      </c>
      <c r="E39" s="2" t="s">
        <v>4</v>
      </c>
      <c r="F39" s="2" t="s">
        <v>82</v>
      </c>
      <c r="G39" s="2">
        <v>400000</v>
      </c>
      <c r="H39" s="2">
        <v>140000</v>
      </c>
      <c r="I39" s="2">
        <f t="shared" si="0"/>
        <v>260000</v>
      </c>
      <c r="J39" s="6" t="str">
        <f t="shared" si="1"/>
        <v>POOR PAY</v>
      </c>
    </row>
    <row r="40" spans="1:10" ht="27.6" x14ac:dyDescent="0.25">
      <c r="A40" s="2" t="s">
        <v>224</v>
      </c>
      <c r="B40" s="4" t="s">
        <v>225</v>
      </c>
      <c r="C40" s="4" t="s">
        <v>42</v>
      </c>
      <c r="E40" s="2" t="s">
        <v>4</v>
      </c>
      <c r="F40" s="2" t="s">
        <v>82</v>
      </c>
      <c r="G40" s="2">
        <v>400000</v>
      </c>
      <c r="H40" s="2">
        <v>160000</v>
      </c>
      <c r="I40" s="2">
        <f t="shared" si="0"/>
        <v>240000</v>
      </c>
      <c r="J40" s="6" t="str">
        <f t="shared" si="1"/>
        <v>AVERAGE PAY</v>
      </c>
    </row>
    <row r="41" spans="1:10" ht="27.6" x14ac:dyDescent="0.25">
      <c r="A41" s="2" t="s">
        <v>218</v>
      </c>
      <c r="B41" s="4" t="s">
        <v>219</v>
      </c>
      <c r="C41" s="4" t="s">
        <v>40</v>
      </c>
      <c r="E41" s="2" t="s">
        <v>4</v>
      </c>
      <c r="F41" s="2" t="s">
        <v>82</v>
      </c>
      <c r="G41" s="2">
        <v>400000</v>
      </c>
      <c r="H41" s="2">
        <v>120000</v>
      </c>
      <c r="I41" s="2">
        <f t="shared" si="0"/>
        <v>280000</v>
      </c>
      <c r="J41" s="6" t="str">
        <f t="shared" si="1"/>
        <v>POOR PAY</v>
      </c>
    </row>
    <row r="42" spans="1:10" ht="27.6" x14ac:dyDescent="0.25">
      <c r="A42" s="2" t="s">
        <v>211</v>
      </c>
      <c r="B42" s="4" t="s">
        <v>17</v>
      </c>
      <c r="C42" s="4" t="s">
        <v>212</v>
      </c>
      <c r="E42" s="2" t="s">
        <v>4</v>
      </c>
      <c r="F42" s="2" t="s">
        <v>82</v>
      </c>
      <c r="G42" s="2">
        <v>400000</v>
      </c>
      <c r="H42" s="2">
        <v>150000</v>
      </c>
      <c r="I42" s="2">
        <f t="shared" si="0"/>
        <v>250000</v>
      </c>
      <c r="J42" s="6" t="str">
        <f t="shared" si="1"/>
        <v>POOR PAY</v>
      </c>
    </row>
    <row r="43" spans="1:10" ht="27.6" x14ac:dyDescent="0.25">
      <c r="A43" s="2" t="s">
        <v>136</v>
      </c>
      <c r="B43" s="4" t="s">
        <v>137</v>
      </c>
      <c r="C43" s="4" t="s">
        <v>21</v>
      </c>
      <c r="E43" s="2" t="s">
        <v>4</v>
      </c>
      <c r="F43" s="2" t="s">
        <v>82</v>
      </c>
      <c r="G43" s="2">
        <v>400000</v>
      </c>
      <c r="H43" s="2">
        <v>240000</v>
      </c>
      <c r="I43" s="2">
        <f t="shared" si="0"/>
        <v>160000</v>
      </c>
      <c r="J43" s="6" t="str">
        <f t="shared" si="1"/>
        <v>AVERAGE PAY</v>
      </c>
    </row>
    <row r="44" spans="1:10" ht="27.6" x14ac:dyDescent="0.25">
      <c r="A44" s="2" t="s">
        <v>174</v>
      </c>
      <c r="B44" s="4" t="s">
        <v>137</v>
      </c>
      <c r="C44" s="4" t="s">
        <v>175</v>
      </c>
      <c r="E44" s="2" t="s">
        <v>4</v>
      </c>
      <c r="F44" s="2" t="s">
        <v>82</v>
      </c>
      <c r="G44" s="2">
        <v>400000</v>
      </c>
      <c r="H44" s="2">
        <v>260000</v>
      </c>
      <c r="I44" s="2">
        <f t="shared" si="0"/>
        <v>140000</v>
      </c>
      <c r="J44" s="6" t="str">
        <f t="shared" si="1"/>
        <v>GOOD PAY</v>
      </c>
    </row>
    <row r="45" spans="1:10" ht="27.6" x14ac:dyDescent="0.25">
      <c r="A45" s="2" t="s">
        <v>231</v>
      </c>
      <c r="B45" s="4" t="s">
        <v>37</v>
      </c>
      <c r="C45" s="4" t="s">
        <v>44</v>
      </c>
      <c r="E45" s="2" t="s">
        <v>4</v>
      </c>
      <c r="F45" s="2" t="s">
        <v>82</v>
      </c>
      <c r="G45" s="2">
        <v>400000</v>
      </c>
      <c r="H45" s="2">
        <v>210000</v>
      </c>
      <c r="I45" s="2">
        <f t="shared" si="0"/>
        <v>190000</v>
      </c>
      <c r="J45" s="6" t="str">
        <f t="shared" si="1"/>
        <v>AVERAGE PAY</v>
      </c>
    </row>
    <row r="46" spans="1:10" ht="27.6" x14ac:dyDescent="0.25">
      <c r="A46" s="2" t="s">
        <v>128</v>
      </c>
      <c r="B46" s="4" t="s">
        <v>80</v>
      </c>
      <c r="C46" s="4" t="s">
        <v>67</v>
      </c>
      <c r="E46" s="2" t="s">
        <v>4</v>
      </c>
      <c r="F46" s="2" t="s">
        <v>82</v>
      </c>
      <c r="G46" s="2">
        <v>400000</v>
      </c>
      <c r="H46" s="2">
        <v>160000</v>
      </c>
      <c r="I46" s="2">
        <f t="shared" si="0"/>
        <v>240000</v>
      </c>
      <c r="J46" s="6" t="str">
        <f t="shared" si="1"/>
        <v>AVERAGE PAY</v>
      </c>
    </row>
    <row r="47" spans="1:10" ht="27.6" x14ac:dyDescent="0.25">
      <c r="A47" s="2" t="s">
        <v>189</v>
      </c>
      <c r="B47" s="4" t="s">
        <v>191</v>
      </c>
      <c r="C47" s="4" t="s">
        <v>190</v>
      </c>
      <c r="E47" s="2" t="s">
        <v>4</v>
      </c>
      <c r="F47" s="2" t="s">
        <v>82</v>
      </c>
      <c r="G47" s="2">
        <v>400000</v>
      </c>
      <c r="H47" s="2">
        <v>370000</v>
      </c>
      <c r="I47" s="2">
        <f t="shared" si="0"/>
        <v>30000</v>
      </c>
      <c r="J47" s="6" t="str">
        <f t="shared" si="1"/>
        <v>GOOD PAY</v>
      </c>
    </row>
    <row r="48" spans="1:10" ht="27.6" x14ac:dyDescent="0.25">
      <c r="A48" s="2" t="s">
        <v>234</v>
      </c>
      <c r="B48" s="4" t="s">
        <v>30</v>
      </c>
      <c r="C48" s="4" t="s">
        <v>47</v>
      </c>
      <c r="E48" s="2" t="s">
        <v>4</v>
      </c>
      <c r="F48" s="2" t="s">
        <v>82</v>
      </c>
      <c r="G48" s="2">
        <v>400000</v>
      </c>
      <c r="H48" s="2">
        <v>400000</v>
      </c>
      <c r="I48" s="2">
        <f t="shared" si="0"/>
        <v>0</v>
      </c>
      <c r="J48" s="6" t="str">
        <f t="shared" si="1"/>
        <v>GOOD PAY</v>
      </c>
    </row>
    <row r="49" spans="1:10" ht="27.6" x14ac:dyDescent="0.25">
      <c r="A49" s="2" t="s">
        <v>183</v>
      </c>
      <c r="B49" s="4" t="s">
        <v>62</v>
      </c>
      <c r="C49" s="4" t="s">
        <v>184</v>
      </c>
      <c r="E49" s="2" t="s">
        <v>4</v>
      </c>
      <c r="F49" s="2" t="s">
        <v>82</v>
      </c>
      <c r="G49" s="2">
        <v>400000</v>
      </c>
      <c r="H49" s="2">
        <v>320000</v>
      </c>
      <c r="I49" s="2">
        <f t="shared" si="0"/>
        <v>80000</v>
      </c>
      <c r="J49" s="6" t="str">
        <f t="shared" si="1"/>
        <v>GOOD PAY</v>
      </c>
    </row>
    <row r="50" spans="1:10" ht="27.6" x14ac:dyDescent="0.25">
      <c r="A50" s="2" t="s">
        <v>170</v>
      </c>
      <c r="B50" s="4" t="s">
        <v>171</v>
      </c>
      <c r="C50" s="4" t="s">
        <v>75</v>
      </c>
      <c r="E50" s="2" t="s">
        <v>4</v>
      </c>
      <c r="F50" s="2" t="s">
        <v>82</v>
      </c>
      <c r="G50" s="2">
        <v>400000</v>
      </c>
      <c r="H50" s="2">
        <v>310000</v>
      </c>
      <c r="I50" s="2">
        <f t="shared" si="0"/>
        <v>90000</v>
      </c>
      <c r="J50" s="6" t="str">
        <f t="shared" si="1"/>
        <v>GOOD PAY</v>
      </c>
    </row>
    <row r="51" spans="1:10" ht="27.6" x14ac:dyDescent="0.25">
      <c r="A51" s="2" t="s">
        <v>134</v>
      </c>
      <c r="B51" s="4" t="s">
        <v>24</v>
      </c>
      <c r="C51" s="4" t="s">
        <v>18</v>
      </c>
      <c r="E51" s="2" t="s">
        <v>4</v>
      </c>
      <c r="F51" s="2" t="s">
        <v>82</v>
      </c>
      <c r="G51" s="2">
        <v>400000</v>
      </c>
      <c r="H51" s="2">
        <v>130000</v>
      </c>
      <c r="I51" s="2">
        <f t="shared" si="0"/>
        <v>270000</v>
      </c>
      <c r="J51" s="6" t="str">
        <f t="shared" si="1"/>
        <v>POOR PAY</v>
      </c>
    </row>
    <row r="52" spans="1:10" ht="27.6" x14ac:dyDescent="0.25">
      <c r="A52" s="2" t="s">
        <v>167</v>
      </c>
      <c r="B52" s="4" t="s">
        <v>24</v>
      </c>
      <c r="C52" s="4" t="s">
        <v>31</v>
      </c>
      <c r="E52" s="2" t="s">
        <v>4</v>
      </c>
      <c r="F52" s="2" t="s">
        <v>82</v>
      </c>
      <c r="G52" s="2">
        <v>400000</v>
      </c>
      <c r="H52" s="2">
        <v>350000</v>
      </c>
      <c r="I52" s="2">
        <f t="shared" si="0"/>
        <v>50000</v>
      </c>
      <c r="J52" s="6" t="str">
        <f t="shared" si="1"/>
        <v>GOOD PAY</v>
      </c>
    </row>
    <row r="53" spans="1:10" ht="27.6" x14ac:dyDescent="0.25">
      <c r="A53" s="2" t="s">
        <v>180</v>
      </c>
      <c r="B53" s="4" t="s">
        <v>182</v>
      </c>
      <c r="C53" s="4" t="s">
        <v>181</v>
      </c>
      <c r="E53" s="2" t="s">
        <v>4</v>
      </c>
      <c r="F53" s="2" t="s">
        <v>82</v>
      </c>
      <c r="G53" s="2">
        <v>400000</v>
      </c>
      <c r="H53" s="2">
        <v>300000</v>
      </c>
      <c r="I53" s="2">
        <f t="shared" si="0"/>
        <v>100000</v>
      </c>
      <c r="J53" s="6" t="str">
        <f t="shared" si="1"/>
        <v>GOOD PAY</v>
      </c>
    </row>
    <row r="54" spans="1:10" ht="27.6" x14ac:dyDescent="0.25">
      <c r="A54" s="2" t="s">
        <v>213</v>
      </c>
      <c r="B54" s="4" t="s">
        <v>71</v>
      </c>
      <c r="C54" s="4" t="s">
        <v>38</v>
      </c>
      <c r="E54" s="2" t="s">
        <v>4</v>
      </c>
      <c r="F54" s="2" t="s">
        <v>82</v>
      </c>
      <c r="G54" s="2">
        <v>400000</v>
      </c>
      <c r="H54" s="2">
        <v>200000</v>
      </c>
      <c r="I54" s="2">
        <f t="shared" si="0"/>
        <v>200000</v>
      </c>
      <c r="J54" s="6" t="str">
        <f t="shared" si="1"/>
        <v>AVERAGE PAY</v>
      </c>
    </row>
    <row r="55" spans="1:10" ht="27.6" x14ac:dyDescent="0.25">
      <c r="A55" s="2" t="s">
        <v>256</v>
      </c>
      <c r="B55" s="4" t="s">
        <v>71</v>
      </c>
      <c r="C55" s="4" t="s">
        <v>257</v>
      </c>
      <c r="E55" s="2" t="s">
        <v>4</v>
      </c>
      <c r="F55" s="2" t="s">
        <v>82</v>
      </c>
      <c r="G55" s="2">
        <v>400000</v>
      </c>
      <c r="H55" s="2">
        <v>240000</v>
      </c>
      <c r="I55" s="2">
        <f t="shared" si="0"/>
        <v>160000</v>
      </c>
      <c r="J55" s="6" t="str">
        <f t="shared" si="1"/>
        <v>AVERAGE PAY</v>
      </c>
    </row>
    <row r="56" spans="1:10" ht="27.6" x14ac:dyDescent="0.25">
      <c r="A56" s="2" t="s">
        <v>133</v>
      </c>
      <c r="B56" s="4" t="s">
        <v>51</v>
      </c>
      <c r="C56" s="4" t="s">
        <v>18</v>
      </c>
      <c r="E56" s="2" t="s">
        <v>4</v>
      </c>
      <c r="F56" s="2" t="s">
        <v>82</v>
      </c>
      <c r="G56" s="2">
        <v>400000</v>
      </c>
      <c r="H56" s="2">
        <v>220000</v>
      </c>
      <c r="I56" s="2">
        <f t="shared" si="0"/>
        <v>180000</v>
      </c>
      <c r="J56" s="6" t="str">
        <f t="shared" si="1"/>
        <v>AVERAGE PAY</v>
      </c>
    </row>
    <row r="57" spans="1:10" ht="27.6" x14ac:dyDescent="0.25">
      <c r="A57" s="2" t="s">
        <v>140</v>
      </c>
      <c r="B57" s="4" t="s">
        <v>141</v>
      </c>
      <c r="C57" s="4" t="s">
        <v>72</v>
      </c>
      <c r="E57" s="2" t="s">
        <v>4</v>
      </c>
      <c r="F57" s="2" t="s">
        <v>82</v>
      </c>
      <c r="G57" s="2">
        <v>400000</v>
      </c>
      <c r="H57" s="2">
        <v>240000</v>
      </c>
      <c r="I57" s="2">
        <f t="shared" si="0"/>
        <v>160000</v>
      </c>
      <c r="J57" s="6" t="str">
        <f t="shared" si="1"/>
        <v>AVERAGE PAY</v>
      </c>
    </row>
    <row r="58" spans="1:10" ht="27.6" x14ac:dyDescent="0.25">
      <c r="A58" s="2" t="s">
        <v>214</v>
      </c>
      <c r="B58" s="4" t="s">
        <v>65</v>
      </c>
      <c r="C58" s="4" t="s">
        <v>39</v>
      </c>
      <c r="E58" s="2" t="s">
        <v>4</v>
      </c>
      <c r="F58" s="2" t="s">
        <v>82</v>
      </c>
      <c r="G58" s="2">
        <v>400000</v>
      </c>
      <c r="H58" s="2">
        <v>250000</v>
      </c>
      <c r="I58" s="2">
        <f t="shared" si="0"/>
        <v>150000</v>
      </c>
      <c r="J58" s="6" t="str">
        <f t="shared" si="1"/>
        <v>AVERAGE PAY</v>
      </c>
    </row>
    <row r="59" spans="1:10" ht="27.6" x14ac:dyDescent="0.25">
      <c r="A59" s="2" t="s">
        <v>247</v>
      </c>
      <c r="B59" s="4" t="s">
        <v>249</v>
      </c>
      <c r="C59" s="4" t="s">
        <v>248</v>
      </c>
      <c r="E59" s="2" t="s">
        <v>4</v>
      </c>
      <c r="F59" s="2" t="s">
        <v>82</v>
      </c>
      <c r="G59" s="2">
        <v>400000</v>
      </c>
      <c r="H59" s="2">
        <v>150000</v>
      </c>
      <c r="I59" s="2">
        <f t="shared" si="0"/>
        <v>250000</v>
      </c>
      <c r="J59" s="6" t="str">
        <f t="shared" si="1"/>
        <v>POOR PAY</v>
      </c>
    </row>
    <row r="60" spans="1:10" ht="27.6" x14ac:dyDescent="0.25">
      <c r="A60" s="2" t="s">
        <v>131</v>
      </c>
      <c r="B60" s="4" t="s">
        <v>26</v>
      </c>
      <c r="C60" s="4" t="s">
        <v>132</v>
      </c>
      <c r="E60" s="2" t="s">
        <v>4</v>
      </c>
      <c r="F60" s="2" t="s">
        <v>82</v>
      </c>
      <c r="G60" s="2">
        <v>400000</v>
      </c>
      <c r="H60" s="2">
        <v>260000</v>
      </c>
      <c r="I60" s="2">
        <f t="shared" si="0"/>
        <v>140000</v>
      </c>
      <c r="J60" s="6" t="str">
        <f t="shared" si="1"/>
        <v>GOOD PAY</v>
      </c>
    </row>
    <row r="61" spans="1:10" ht="27.6" x14ac:dyDescent="0.25">
      <c r="A61" s="2" t="s">
        <v>238</v>
      </c>
      <c r="B61" s="4" t="s">
        <v>240</v>
      </c>
      <c r="C61" s="4" t="s">
        <v>239</v>
      </c>
      <c r="E61" s="2" t="s">
        <v>4</v>
      </c>
      <c r="F61" s="2" t="s">
        <v>82</v>
      </c>
      <c r="G61" s="2">
        <v>400000</v>
      </c>
      <c r="H61" s="2">
        <v>100000</v>
      </c>
      <c r="I61" s="2">
        <f t="shared" si="0"/>
        <v>300000</v>
      </c>
      <c r="J61" s="6" t="str">
        <f t="shared" si="1"/>
        <v>POOR PAY</v>
      </c>
    </row>
    <row r="62" spans="1:10" ht="27.6" x14ac:dyDescent="0.25">
      <c r="A62" s="2" t="s">
        <v>129</v>
      </c>
      <c r="B62" s="4" t="s">
        <v>77</v>
      </c>
      <c r="C62" s="4" t="s">
        <v>130</v>
      </c>
      <c r="E62" s="2" t="s">
        <v>4</v>
      </c>
      <c r="F62" s="2" t="s">
        <v>82</v>
      </c>
      <c r="G62" s="2">
        <v>400000</v>
      </c>
      <c r="H62" s="2">
        <v>240000</v>
      </c>
      <c r="I62" s="2">
        <f t="shared" si="0"/>
        <v>160000</v>
      </c>
      <c r="J62" s="6" t="str">
        <f t="shared" si="1"/>
        <v>AVERAGE PAY</v>
      </c>
    </row>
    <row r="63" spans="1:10" ht="27.6" x14ac:dyDescent="0.25">
      <c r="A63" s="2" t="s">
        <v>251</v>
      </c>
      <c r="B63" s="4" t="s">
        <v>77</v>
      </c>
      <c r="C63" s="4" t="s">
        <v>252</v>
      </c>
      <c r="E63" s="2" t="s">
        <v>4</v>
      </c>
      <c r="F63" s="2" t="s">
        <v>82</v>
      </c>
      <c r="G63" s="2">
        <v>400000</v>
      </c>
      <c r="H63" s="2">
        <v>130000</v>
      </c>
      <c r="I63" s="2">
        <f t="shared" si="0"/>
        <v>270000</v>
      </c>
      <c r="J63" s="6" t="str">
        <f t="shared" si="1"/>
        <v>POOR PAY</v>
      </c>
    </row>
    <row r="64" spans="1:10" ht="27.6" x14ac:dyDescent="0.25">
      <c r="A64" s="2" t="s">
        <v>100</v>
      </c>
      <c r="B64" s="4" t="s">
        <v>59</v>
      </c>
      <c r="C64" s="4" t="s">
        <v>101</v>
      </c>
      <c r="E64" s="2" t="s">
        <v>4</v>
      </c>
      <c r="F64" s="2" t="s">
        <v>82</v>
      </c>
      <c r="G64" s="2">
        <v>400000</v>
      </c>
      <c r="H64" s="2">
        <v>380000</v>
      </c>
      <c r="I64" s="2">
        <f t="shared" si="0"/>
        <v>20000</v>
      </c>
      <c r="J64" s="6" t="str">
        <f t="shared" si="1"/>
        <v>GOOD PAY</v>
      </c>
    </row>
    <row r="65" spans="1:10" ht="27.6" x14ac:dyDescent="0.25">
      <c r="A65" s="2" t="s">
        <v>187</v>
      </c>
      <c r="B65" s="4" t="s">
        <v>188</v>
      </c>
      <c r="C65" s="4" t="s">
        <v>35</v>
      </c>
      <c r="D65" s="4" t="s">
        <v>45</v>
      </c>
      <c r="E65" s="2" t="s">
        <v>4</v>
      </c>
      <c r="F65" s="2" t="s">
        <v>82</v>
      </c>
      <c r="G65" s="2">
        <v>400000</v>
      </c>
      <c r="H65" s="2">
        <v>400000</v>
      </c>
      <c r="I65" s="2">
        <f t="shared" si="0"/>
        <v>0</v>
      </c>
      <c r="J65" s="6" t="str">
        <f t="shared" si="1"/>
        <v>GOOD PAY</v>
      </c>
    </row>
    <row r="66" spans="1:10" ht="27.6" x14ac:dyDescent="0.25">
      <c r="A66" s="2" t="s">
        <v>168</v>
      </c>
      <c r="B66" s="4" t="s">
        <v>169</v>
      </c>
      <c r="C66" s="4" t="s">
        <v>74</v>
      </c>
      <c r="E66" s="2" t="s">
        <v>4</v>
      </c>
      <c r="F66" s="2" t="s">
        <v>82</v>
      </c>
      <c r="G66" s="2">
        <v>400000</v>
      </c>
      <c r="H66" s="2">
        <v>400000</v>
      </c>
      <c r="I66" s="2">
        <f t="shared" si="0"/>
        <v>0</v>
      </c>
      <c r="J66" s="6" t="str">
        <f t="shared" si="1"/>
        <v>GOOD PAY</v>
      </c>
    </row>
    <row r="67" spans="1:10" ht="27.6" x14ac:dyDescent="0.25">
      <c r="A67" s="2" t="s">
        <v>127</v>
      </c>
      <c r="B67" s="4" t="s">
        <v>16</v>
      </c>
      <c r="C67" s="4" t="s">
        <v>15</v>
      </c>
      <c r="E67" s="2" t="s">
        <v>4</v>
      </c>
      <c r="F67" s="2" t="s">
        <v>82</v>
      </c>
      <c r="G67" s="2">
        <v>400000</v>
      </c>
      <c r="H67" s="2">
        <v>400000</v>
      </c>
      <c r="I67" s="2">
        <f t="shared" si="0"/>
        <v>0</v>
      </c>
      <c r="J67" s="6" t="str">
        <f t="shared" si="1"/>
        <v>GOOD PAY</v>
      </c>
    </row>
    <row r="68" spans="1:10" ht="27.6" x14ac:dyDescent="0.25">
      <c r="A68" s="2" t="s">
        <v>208</v>
      </c>
      <c r="B68" s="4" t="s">
        <v>16</v>
      </c>
      <c r="C68" s="4" t="s">
        <v>79</v>
      </c>
      <c r="E68" s="2" t="s">
        <v>4</v>
      </c>
      <c r="F68" s="2" t="s">
        <v>82</v>
      </c>
      <c r="G68" s="2">
        <v>400000</v>
      </c>
      <c r="H68" s="2">
        <v>400000</v>
      </c>
      <c r="I68" s="2">
        <f t="shared" ref="I68:I92" si="2">G68-H68</f>
        <v>0</v>
      </c>
      <c r="J68" s="6" t="str">
        <f t="shared" ref="J68:J92" si="3">IF(H68&lt;=150000,"POOR PAY",IF(H68&lt;=250000,"AVERAGE PAY",IF(H68&gt;250000,"GOOD PAY")))</f>
        <v>GOOD PAY</v>
      </c>
    </row>
    <row r="69" spans="1:10" ht="27.6" x14ac:dyDescent="0.25">
      <c r="A69" s="2" t="s">
        <v>241</v>
      </c>
      <c r="B69" s="4" t="s">
        <v>10</v>
      </c>
      <c r="C69" s="4" t="s">
        <v>242</v>
      </c>
      <c r="E69" s="2" t="s">
        <v>4</v>
      </c>
      <c r="F69" s="2" t="s">
        <v>82</v>
      </c>
      <c r="G69" s="2">
        <v>400000</v>
      </c>
      <c r="H69" s="2">
        <v>400000</v>
      </c>
      <c r="I69" s="2">
        <f t="shared" si="2"/>
        <v>0</v>
      </c>
      <c r="J69" s="6" t="str">
        <f t="shared" si="3"/>
        <v>GOOD PAY</v>
      </c>
    </row>
    <row r="70" spans="1:10" ht="27.6" x14ac:dyDescent="0.25">
      <c r="A70" s="2" t="s">
        <v>250</v>
      </c>
      <c r="B70" s="4" t="s">
        <v>10</v>
      </c>
      <c r="C70" s="4" t="s">
        <v>55</v>
      </c>
      <c r="E70" s="2" t="s">
        <v>4</v>
      </c>
      <c r="F70" s="2" t="s">
        <v>82</v>
      </c>
      <c r="G70" s="2">
        <v>400000</v>
      </c>
      <c r="H70" s="2">
        <v>400000</v>
      </c>
      <c r="I70" s="2">
        <f t="shared" si="2"/>
        <v>0</v>
      </c>
      <c r="J70" s="6" t="str">
        <f t="shared" si="3"/>
        <v>GOOD PAY</v>
      </c>
    </row>
    <row r="71" spans="1:10" ht="27.6" x14ac:dyDescent="0.25">
      <c r="A71" s="2" t="s">
        <v>179</v>
      </c>
      <c r="B71" s="4" t="s">
        <v>70</v>
      </c>
      <c r="C71" s="4" t="s">
        <v>13</v>
      </c>
      <c r="E71" s="2" t="s">
        <v>4</v>
      </c>
      <c r="F71" s="2" t="s">
        <v>82</v>
      </c>
      <c r="G71" s="2">
        <v>400000</v>
      </c>
      <c r="H71" s="2">
        <v>400000</v>
      </c>
      <c r="I71" s="2">
        <f t="shared" si="2"/>
        <v>0</v>
      </c>
      <c r="J71" s="6" t="str">
        <f t="shared" si="3"/>
        <v>GOOD PAY</v>
      </c>
    </row>
    <row r="72" spans="1:10" ht="27.6" x14ac:dyDescent="0.25">
      <c r="A72" s="2" t="s">
        <v>222</v>
      </c>
      <c r="B72" s="4" t="s">
        <v>22</v>
      </c>
      <c r="C72" s="4" t="s">
        <v>223</v>
      </c>
      <c r="D72" s="4" t="s">
        <v>5</v>
      </c>
      <c r="E72" s="2" t="s">
        <v>4</v>
      </c>
      <c r="F72" s="2" t="s">
        <v>82</v>
      </c>
      <c r="G72" s="2">
        <v>400000</v>
      </c>
      <c r="H72" s="2">
        <v>400000</v>
      </c>
      <c r="I72" s="2">
        <f t="shared" si="2"/>
        <v>0</v>
      </c>
      <c r="J72" s="6" t="str">
        <f t="shared" si="3"/>
        <v>GOOD PAY</v>
      </c>
    </row>
    <row r="73" spans="1:10" ht="27.6" x14ac:dyDescent="0.25">
      <c r="A73" s="2" t="s">
        <v>94</v>
      </c>
      <c r="B73" s="4" t="s">
        <v>43</v>
      </c>
      <c r="C73" s="4" t="s">
        <v>95</v>
      </c>
      <c r="E73" s="2" t="s">
        <v>4</v>
      </c>
      <c r="F73" s="2" t="s">
        <v>82</v>
      </c>
      <c r="G73" s="2">
        <v>400000</v>
      </c>
      <c r="H73" s="2">
        <v>400000</v>
      </c>
      <c r="I73" s="2">
        <f t="shared" si="2"/>
        <v>0</v>
      </c>
      <c r="J73" s="6" t="str">
        <f t="shared" si="3"/>
        <v>GOOD PAY</v>
      </c>
    </row>
    <row r="74" spans="1:10" ht="27.6" x14ac:dyDescent="0.25">
      <c r="A74" s="2" t="s">
        <v>98</v>
      </c>
      <c r="B74" s="4" t="s">
        <v>54</v>
      </c>
      <c r="C74" s="4" t="s">
        <v>99</v>
      </c>
      <c r="E74" s="2" t="s">
        <v>4</v>
      </c>
      <c r="F74" s="2" t="s">
        <v>82</v>
      </c>
      <c r="G74" s="2">
        <v>400000</v>
      </c>
      <c r="H74" s="2">
        <v>400000</v>
      </c>
      <c r="I74" s="2">
        <f t="shared" si="2"/>
        <v>0</v>
      </c>
      <c r="J74" s="6" t="str">
        <f t="shared" si="3"/>
        <v>GOOD PAY</v>
      </c>
    </row>
    <row r="75" spans="1:10" ht="27.6" x14ac:dyDescent="0.25">
      <c r="A75" s="2" t="s">
        <v>215</v>
      </c>
      <c r="B75" s="4" t="s">
        <v>217</v>
      </c>
      <c r="C75" s="4" t="s">
        <v>216</v>
      </c>
      <c r="E75" s="2" t="s">
        <v>4</v>
      </c>
      <c r="F75" s="2" t="s">
        <v>82</v>
      </c>
      <c r="G75" s="2">
        <v>400000</v>
      </c>
      <c r="H75" s="2">
        <v>400000</v>
      </c>
      <c r="I75" s="2">
        <f t="shared" si="2"/>
        <v>0</v>
      </c>
      <c r="J75" s="6" t="str">
        <f t="shared" si="3"/>
        <v>GOOD PAY</v>
      </c>
    </row>
    <row r="76" spans="1:10" ht="27.6" x14ac:dyDescent="0.25">
      <c r="A76" s="2" t="s">
        <v>220</v>
      </c>
      <c r="B76" s="4" t="s">
        <v>221</v>
      </c>
      <c r="C76" s="4" t="s">
        <v>41</v>
      </c>
      <c r="E76" s="2" t="s">
        <v>4</v>
      </c>
      <c r="F76" s="2" t="s">
        <v>82</v>
      </c>
      <c r="G76" s="2">
        <v>400000</v>
      </c>
      <c r="H76" s="2">
        <v>400000</v>
      </c>
      <c r="I76" s="2">
        <f t="shared" si="2"/>
        <v>0</v>
      </c>
      <c r="J76" s="6" t="str">
        <f t="shared" si="3"/>
        <v>GOOD PAY</v>
      </c>
    </row>
    <row r="77" spans="1:10" ht="27.6" x14ac:dyDescent="0.25">
      <c r="A77" s="2" t="s">
        <v>107</v>
      </c>
      <c r="B77" s="4" t="s">
        <v>69</v>
      </c>
      <c r="C77" s="4" t="s">
        <v>56</v>
      </c>
      <c r="E77" s="2" t="s">
        <v>4</v>
      </c>
      <c r="F77" s="2" t="s">
        <v>82</v>
      </c>
      <c r="G77" s="2">
        <v>400000</v>
      </c>
      <c r="H77" s="2">
        <v>400000</v>
      </c>
      <c r="I77" s="2">
        <f t="shared" si="2"/>
        <v>0</v>
      </c>
      <c r="J77" s="6" t="str">
        <f t="shared" si="3"/>
        <v>GOOD PAY</v>
      </c>
    </row>
    <row r="78" spans="1:10" ht="27.6" x14ac:dyDescent="0.25">
      <c r="A78" s="2" t="s">
        <v>258</v>
      </c>
      <c r="B78" s="4" t="s">
        <v>69</v>
      </c>
      <c r="C78" s="4" t="s">
        <v>259</v>
      </c>
      <c r="E78" s="2" t="s">
        <v>4</v>
      </c>
      <c r="F78" s="2" t="s">
        <v>82</v>
      </c>
      <c r="G78" s="2">
        <v>400000</v>
      </c>
      <c r="H78" s="2">
        <v>400000</v>
      </c>
      <c r="I78" s="2">
        <f t="shared" si="2"/>
        <v>0</v>
      </c>
      <c r="J78" s="6" t="str">
        <f t="shared" si="3"/>
        <v>GOOD PAY</v>
      </c>
    </row>
    <row r="79" spans="1:10" ht="27.6" x14ac:dyDescent="0.25">
      <c r="A79" s="2" t="s">
        <v>159</v>
      </c>
      <c r="B79" s="4" t="s">
        <v>161</v>
      </c>
      <c r="C79" s="4" t="s">
        <v>160</v>
      </c>
      <c r="D79" s="4" t="s">
        <v>63</v>
      </c>
      <c r="E79" s="2" t="s">
        <v>4</v>
      </c>
      <c r="F79" s="2" t="s">
        <v>82</v>
      </c>
      <c r="G79" s="2">
        <v>400000</v>
      </c>
      <c r="H79" s="2">
        <v>100000</v>
      </c>
      <c r="I79" s="2">
        <f t="shared" si="2"/>
        <v>300000</v>
      </c>
      <c r="J79" s="6" t="str">
        <f t="shared" si="3"/>
        <v>POOR PAY</v>
      </c>
    </row>
    <row r="80" spans="1:10" ht="27.6" x14ac:dyDescent="0.25">
      <c r="A80" s="2" t="s">
        <v>142</v>
      </c>
      <c r="B80" s="4" t="s">
        <v>143</v>
      </c>
      <c r="C80" s="4" t="s">
        <v>27</v>
      </c>
      <c r="E80" s="2" t="s">
        <v>4</v>
      </c>
      <c r="F80" s="2" t="s">
        <v>82</v>
      </c>
      <c r="G80" s="2">
        <v>400000</v>
      </c>
      <c r="H80" s="2">
        <v>230000</v>
      </c>
      <c r="I80" s="2">
        <f t="shared" si="2"/>
        <v>170000</v>
      </c>
      <c r="J80" s="6" t="str">
        <f t="shared" si="3"/>
        <v>AVERAGE PAY</v>
      </c>
    </row>
    <row r="81" spans="1:10" ht="27.6" x14ac:dyDescent="0.25">
      <c r="A81" s="2" t="s">
        <v>108</v>
      </c>
      <c r="B81" s="4" t="s">
        <v>33</v>
      </c>
      <c r="C81" s="4" t="s">
        <v>56</v>
      </c>
      <c r="E81" s="2" t="s">
        <v>4</v>
      </c>
      <c r="F81" s="2" t="s">
        <v>82</v>
      </c>
      <c r="G81" s="2">
        <v>400000</v>
      </c>
      <c r="H81" s="2">
        <v>150000</v>
      </c>
      <c r="I81" s="2">
        <f t="shared" si="2"/>
        <v>250000</v>
      </c>
      <c r="J81" s="6" t="str">
        <f t="shared" si="3"/>
        <v>POOR PAY</v>
      </c>
    </row>
    <row r="82" spans="1:10" ht="27.6" x14ac:dyDescent="0.25">
      <c r="A82" s="2" t="s">
        <v>209</v>
      </c>
      <c r="B82" s="4" t="s">
        <v>19</v>
      </c>
      <c r="C82" s="4" t="s">
        <v>210</v>
      </c>
      <c r="E82" s="2" t="s">
        <v>4</v>
      </c>
      <c r="F82" s="2" t="s">
        <v>82</v>
      </c>
      <c r="G82" s="2">
        <v>400000</v>
      </c>
      <c r="H82" s="2">
        <v>170000</v>
      </c>
      <c r="I82" s="2">
        <f t="shared" si="2"/>
        <v>230000</v>
      </c>
      <c r="J82" s="6" t="str">
        <f t="shared" si="3"/>
        <v>AVERAGE PAY</v>
      </c>
    </row>
    <row r="83" spans="1:10" ht="27.6" x14ac:dyDescent="0.25">
      <c r="A83" s="2" t="s">
        <v>112</v>
      </c>
      <c r="B83" s="4" t="s">
        <v>23</v>
      </c>
      <c r="C83" s="4" t="s">
        <v>57</v>
      </c>
      <c r="E83" s="2" t="s">
        <v>4</v>
      </c>
      <c r="F83" s="2" t="s">
        <v>82</v>
      </c>
      <c r="G83" s="2">
        <v>400000</v>
      </c>
      <c r="H83" s="2">
        <v>350000</v>
      </c>
      <c r="I83" s="2">
        <f t="shared" si="2"/>
        <v>50000</v>
      </c>
      <c r="J83" s="6" t="str">
        <f t="shared" si="3"/>
        <v>GOOD PAY</v>
      </c>
    </row>
    <row r="84" spans="1:10" ht="27.6" x14ac:dyDescent="0.25">
      <c r="A84" s="2" t="s">
        <v>138</v>
      </c>
      <c r="B84" s="4" t="s">
        <v>23</v>
      </c>
      <c r="C84" s="4" t="s">
        <v>61</v>
      </c>
      <c r="D84" s="4" t="s">
        <v>8</v>
      </c>
      <c r="E84" s="2" t="s">
        <v>4</v>
      </c>
      <c r="F84" s="2" t="s">
        <v>82</v>
      </c>
      <c r="G84" s="2">
        <v>400000</v>
      </c>
      <c r="H84" s="2">
        <v>310000</v>
      </c>
      <c r="I84" s="2">
        <f t="shared" si="2"/>
        <v>90000</v>
      </c>
      <c r="J84" s="6" t="str">
        <f t="shared" si="3"/>
        <v>GOOD PAY</v>
      </c>
    </row>
    <row r="85" spans="1:10" ht="27.6" x14ac:dyDescent="0.25">
      <c r="A85" s="2" t="s">
        <v>226</v>
      </c>
      <c r="B85" s="4" t="s">
        <v>228</v>
      </c>
      <c r="C85" s="4" t="s">
        <v>227</v>
      </c>
      <c r="E85" s="2" t="s">
        <v>4</v>
      </c>
      <c r="F85" s="2" t="s">
        <v>82</v>
      </c>
      <c r="G85" s="2">
        <v>400000</v>
      </c>
      <c r="H85" s="2">
        <v>170000</v>
      </c>
      <c r="I85" s="2">
        <f t="shared" si="2"/>
        <v>230000</v>
      </c>
      <c r="J85" s="6" t="str">
        <f t="shared" si="3"/>
        <v>AVERAGE PAY</v>
      </c>
    </row>
    <row r="86" spans="1:10" ht="27.6" x14ac:dyDescent="0.25">
      <c r="A86" s="2" t="s">
        <v>235</v>
      </c>
      <c r="B86" s="4" t="s">
        <v>236</v>
      </c>
      <c r="C86" s="4" t="s">
        <v>48</v>
      </c>
      <c r="E86" s="2" t="s">
        <v>4</v>
      </c>
      <c r="F86" s="2" t="s">
        <v>82</v>
      </c>
      <c r="G86" s="2">
        <v>400000</v>
      </c>
      <c r="H86" s="2">
        <v>80000</v>
      </c>
      <c r="I86" s="2">
        <f t="shared" si="2"/>
        <v>320000</v>
      </c>
      <c r="J86" s="6" t="str">
        <f t="shared" si="3"/>
        <v>POOR PAY</v>
      </c>
    </row>
    <row r="87" spans="1:10" ht="27.6" x14ac:dyDescent="0.25">
      <c r="A87" s="2" t="s">
        <v>245</v>
      </c>
      <c r="B87" s="4" t="s">
        <v>246</v>
      </c>
      <c r="C87" s="4" t="s">
        <v>81</v>
      </c>
      <c r="E87" s="2" t="s">
        <v>1</v>
      </c>
      <c r="F87" s="2" t="s">
        <v>82</v>
      </c>
      <c r="G87" s="2">
        <v>400000</v>
      </c>
      <c r="H87" s="2">
        <v>190000</v>
      </c>
      <c r="I87" s="2">
        <f t="shared" si="2"/>
        <v>210000</v>
      </c>
      <c r="J87" s="6" t="str">
        <f t="shared" si="3"/>
        <v>AVERAGE PAY</v>
      </c>
    </row>
    <row r="88" spans="1:10" ht="27.6" x14ac:dyDescent="0.25">
      <c r="A88" s="2" t="s">
        <v>83</v>
      </c>
      <c r="B88" s="4" t="s">
        <v>85</v>
      </c>
      <c r="C88" s="4" t="s">
        <v>84</v>
      </c>
      <c r="E88" s="2" t="s">
        <v>4</v>
      </c>
      <c r="F88" s="2" t="s">
        <v>82</v>
      </c>
      <c r="G88" s="2">
        <v>400000</v>
      </c>
      <c r="H88" s="2">
        <v>200000</v>
      </c>
      <c r="I88" s="2">
        <f t="shared" si="2"/>
        <v>200000</v>
      </c>
      <c r="J88" s="6" t="str">
        <f t="shared" si="3"/>
        <v>AVERAGE PAY</v>
      </c>
    </row>
    <row r="89" spans="1:10" ht="27.6" x14ac:dyDescent="0.25">
      <c r="A89" s="2" t="s">
        <v>122</v>
      </c>
      <c r="B89" s="4" t="s">
        <v>85</v>
      </c>
      <c r="C89" s="4" t="s">
        <v>123</v>
      </c>
      <c r="D89" s="4" t="s">
        <v>124</v>
      </c>
      <c r="E89" s="2" t="s">
        <v>4</v>
      </c>
      <c r="F89" s="2" t="s">
        <v>82</v>
      </c>
      <c r="G89" s="2">
        <v>400000</v>
      </c>
      <c r="H89" s="2">
        <v>200000</v>
      </c>
      <c r="I89" s="2">
        <f t="shared" si="2"/>
        <v>200000</v>
      </c>
      <c r="J89" s="6" t="str">
        <f t="shared" si="3"/>
        <v>AVERAGE PAY</v>
      </c>
    </row>
    <row r="90" spans="1:10" ht="27.6" x14ac:dyDescent="0.25">
      <c r="A90" s="2" t="s">
        <v>125</v>
      </c>
      <c r="B90" s="4" t="s">
        <v>85</v>
      </c>
      <c r="C90" s="4" t="s">
        <v>126</v>
      </c>
      <c r="E90" s="2" t="s">
        <v>1</v>
      </c>
      <c r="F90" s="2" t="s">
        <v>82</v>
      </c>
      <c r="G90" s="2">
        <v>400000</v>
      </c>
      <c r="H90" s="2">
        <v>250000</v>
      </c>
      <c r="I90" s="2">
        <f t="shared" si="2"/>
        <v>150000</v>
      </c>
      <c r="J90" s="6" t="str">
        <f t="shared" si="3"/>
        <v>AVERAGE PAY</v>
      </c>
    </row>
    <row r="91" spans="1:10" ht="27.6" x14ac:dyDescent="0.25">
      <c r="A91" s="2" t="s">
        <v>152</v>
      </c>
      <c r="B91" s="4" t="s">
        <v>154</v>
      </c>
      <c r="C91" s="4" t="s">
        <v>153</v>
      </c>
      <c r="E91" s="2" t="s">
        <v>1</v>
      </c>
      <c r="F91" s="2" t="s">
        <v>82</v>
      </c>
      <c r="G91" s="2">
        <v>400000</v>
      </c>
      <c r="H91" s="2">
        <v>180000</v>
      </c>
      <c r="I91" s="2">
        <f t="shared" si="2"/>
        <v>220000</v>
      </c>
      <c r="J91" s="6" t="str">
        <f t="shared" si="3"/>
        <v>AVERAGE PAY</v>
      </c>
    </row>
    <row r="92" spans="1:10" ht="27.6" x14ac:dyDescent="0.25">
      <c r="A92" s="2" t="s">
        <v>91</v>
      </c>
      <c r="B92" s="4" t="s">
        <v>92</v>
      </c>
      <c r="C92" s="4" t="s">
        <v>6</v>
      </c>
      <c r="E92" s="2" t="s">
        <v>1</v>
      </c>
      <c r="F92" s="2" t="s">
        <v>82</v>
      </c>
      <c r="G92" s="2">
        <v>400000</v>
      </c>
      <c r="H92" s="2">
        <v>290000</v>
      </c>
      <c r="I92" s="2">
        <f t="shared" si="2"/>
        <v>110000</v>
      </c>
      <c r="J92" s="6" t="str">
        <f t="shared" si="3"/>
        <v>GOOD PAY</v>
      </c>
    </row>
    <row r="93" spans="1:10" x14ac:dyDescent="0.25">
      <c r="B93" s="2"/>
      <c r="C93" s="2"/>
      <c r="D93" s="2"/>
    </row>
    <row r="94" spans="1:10" x14ac:dyDescent="0.25">
      <c r="B94" s="2"/>
      <c r="C94" s="2"/>
      <c r="D94" s="2"/>
    </row>
    <row r="95" spans="1:10" x14ac:dyDescent="0.25">
      <c r="B95" s="2"/>
      <c r="C95" s="2"/>
      <c r="D95" s="2"/>
    </row>
    <row r="96" spans="1:10" x14ac:dyDescent="0.25">
      <c r="B96" s="2"/>
      <c r="C96" s="2"/>
      <c r="D96" s="2"/>
    </row>
    <row r="97" spans="2:4" x14ac:dyDescent="0.25">
      <c r="B97" s="2"/>
      <c r="C97" s="2"/>
      <c r="D97" s="2"/>
    </row>
    <row r="98" spans="2:4" x14ac:dyDescent="0.25">
      <c r="B98" s="2"/>
      <c r="C98" s="2"/>
      <c r="D98" s="2"/>
    </row>
    <row r="99" spans="2:4" x14ac:dyDescent="0.25">
      <c r="B99" s="2"/>
      <c r="C99" s="2"/>
      <c r="D99" s="2"/>
    </row>
    <row r="100" spans="2:4" x14ac:dyDescent="0.25">
      <c r="B100" s="2"/>
      <c r="C100" s="2"/>
      <c r="D100" s="2"/>
    </row>
    <row r="101" spans="2:4" x14ac:dyDescent="0.25">
      <c r="B101" s="2"/>
      <c r="C101" s="2"/>
      <c r="D101" s="2"/>
    </row>
    <row r="102" spans="2:4" x14ac:dyDescent="0.25">
      <c r="B102" s="2"/>
      <c r="C102" s="2"/>
      <c r="D102" s="2"/>
    </row>
    <row r="103" spans="2:4" x14ac:dyDescent="0.25">
      <c r="B103" s="2"/>
      <c r="C103" s="2"/>
      <c r="D103" s="2"/>
    </row>
    <row r="104" spans="2:4" x14ac:dyDescent="0.25">
      <c r="B104" s="2"/>
      <c r="C104" s="2"/>
      <c r="D104" s="2"/>
    </row>
    <row r="105" spans="2:4" x14ac:dyDescent="0.25">
      <c r="B105" s="2"/>
      <c r="C105" s="2"/>
      <c r="D105" s="2"/>
    </row>
    <row r="106" spans="2:4" x14ac:dyDescent="0.25">
      <c r="B106" s="2"/>
      <c r="C106" s="2"/>
      <c r="D106" s="2"/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</dc:creator>
  <cp:lastModifiedBy>sophie</cp:lastModifiedBy>
  <dcterms:created xsi:type="dcterms:W3CDTF">2026-04-15T04:47:03Z</dcterms:created>
  <dcterms:modified xsi:type="dcterms:W3CDTF">2026-06-11T11:17:30Z</dcterms:modified>
</cp:coreProperties>
</file>